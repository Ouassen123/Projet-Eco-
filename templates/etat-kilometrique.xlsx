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1570" windowHeight="8145" tabRatio="905"/>
  </bookViews>
  <sheets>
    <sheet name="El Gharss Al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2" l="1"/>
  <c r="H24" i="2" s="1"/>
  <c r="G23" i="2"/>
  <c r="H23" i="2" s="1"/>
  <c r="H30" i="2"/>
  <c r="G29" i="2"/>
  <c r="H29" i="2" s="1"/>
  <c r="G28" i="2" l="1"/>
  <c r="H28" i="2" s="1"/>
  <c r="G26" i="2"/>
  <c r="G27" i="2"/>
  <c r="G25" i="2" l="1"/>
  <c r="H25" i="2" s="1"/>
  <c r="H27" i="2"/>
  <c r="H26" i="2"/>
  <c r="H32" i="2" l="1"/>
</calcChain>
</file>

<file path=xl/sharedStrings.xml><?xml version="1.0" encoding="utf-8"?>
<sst xmlns="http://schemas.openxmlformats.org/spreadsheetml/2006/main" count="53" uniqueCount="40">
  <si>
    <t xml:space="preserve">           UNIVERSITE ABDELMALEK ESSAADI</t>
  </si>
  <si>
    <t xml:space="preserve">    FACULTE DES SCIENCES JURIDIQUES,ECONOMIQUES ET SCOCIALES</t>
  </si>
  <si>
    <t>TANGER</t>
  </si>
  <si>
    <t>Fonction :</t>
  </si>
  <si>
    <t>Echelle :</t>
  </si>
  <si>
    <t>Présenté par :</t>
  </si>
  <si>
    <t>Date de déplacement</t>
  </si>
  <si>
    <t>Date d'arrivé</t>
  </si>
  <si>
    <t>Indication précise du Parcours</t>
  </si>
  <si>
    <t>Moyen de transport</t>
  </si>
  <si>
    <t>Taux de base appliqué</t>
  </si>
  <si>
    <t>Montant des indemnités</t>
  </si>
  <si>
    <t>Total</t>
  </si>
  <si>
    <t>Arrêté par nous sous ordonnateur, le présent à la somme de :</t>
  </si>
  <si>
    <t>Tanger le :</t>
  </si>
  <si>
    <t>Le sous ordonnateur certifie que les déplacements mentionnés au présent état ont eu lieu pour les besoins du service.</t>
  </si>
  <si>
    <t>Le sous-ordonnateur</t>
  </si>
  <si>
    <t xml:space="preserve">Le bénéficiaire </t>
  </si>
  <si>
    <t>Pour acquit</t>
  </si>
  <si>
    <t xml:space="preserve">CIN N° : </t>
  </si>
  <si>
    <t xml:space="preserve">Etat des sommes dûes pour indemnité Kilometriques </t>
  </si>
  <si>
    <t>Indice</t>
  </si>
  <si>
    <t>Puissance Fiscale :</t>
  </si>
  <si>
    <t>N° Matricule:</t>
  </si>
  <si>
    <t>Voiture Personnelle:</t>
  </si>
  <si>
    <t>Echellon:</t>
  </si>
  <si>
    <t>Groupe:</t>
  </si>
  <si>
    <t>Nombre de KM</t>
  </si>
  <si>
    <t>Par le soussigné qui atteste n'avoir pas utilisé un moyen de transport Etatique</t>
  </si>
  <si>
    <t xml:space="preserve">Voiture Personnel </t>
  </si>
  <si>
    <t>6CV</t>
  </si>
  <si>
    <t>M.El Gharss Ali</t>
  </si>
  <si>
    <t>32113-ب-</t>
  </si>
  <si>
    <t>Tanger-Rabat et Retour</t>
  </si>
  <si>
    <t>HE</t>
  </si>
  <si>
    <t>Chef Service Economique</t>
  </si>
  <si>
    <t xml:space="preserve">Tanger-Tétouan et Retour </t>
  </si>
  <si>
    <t># Quatre Mille Huit Cent Soixante Dix Mille et 80 cts #</t>
  </si>
  <si>
    <t>Motif de déplacement :Affaires Administratives</t>
  </si>
  <si>
    <t>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</si>
</sst>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_-* #,##0.00\ [$MAD]_-;\-* #,##0.00\ [$MAD]_-;_-* &quot;-&quot;??\ [$MAD]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9"/>
      <name val="Times New Roman"/>
      <family val="1"/>
    </font>
    <font>
      <b/>
      <sz val="8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4" fontId="10" fillId="0" borderId="0" applyFont="0" applyFill="0" applyBorder="0" applyAlignment="0" applyProtection="0"/>
  </cellStyleXfs>
  <cellXfs count="48">
    <xf numFmtId="0" fontId="0" fillId="0" borderId="0" xfId="0"/>
    <xf numFmtId="0" fontId="0" fillId="0" borderId="6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/>
    <xf numFmtId="0" fontId="1" fillId="0" borderId="6" xfId="0" applyFont="1" applyBorder="1" applyAlignment="1">
      <alignment horizontal="left"/>
    </xf>
    <xf numFmtId="0" fontId="0" fillId="0" borderId="6" xfId="0" applyBorder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" fillId="0" borderId="6" xfId="2" applyNumberFormat="1" applyFont="1" applyBorder="1" applyAlignment="1">
      <alignment horizontal="center"/>
    </xf>
    <xf numFmtId="164" fontId="3" fillId="0" borderId="6" xfId="2" applyNumberFormat="1" applyFont="1" applyBorder="1" applyAlignment="1"/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/>
    <xf numFmtId="0" fontId="1" fillId="0" borderId="6" xfId="0" applyFont="1" applyBorder="1" applyAlignment="1">
      <alignment horizontal="center"/>
    </xf>
    <xf numFmtId="14" fontId="11" fillId="0" borderId="6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3">
    <cellStyle name="Monétaire" xfId="2" builtinId="4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47"/>
  <sheetViews>
    <sheetView tabSelected="1" topLeftCell="A10" workbookViewId="0">
      <selection activeCell="L29" sqref="L29"/>
    </sheetView>
  </sheetViews>
  <sheetFormatPr baseColWidth="10" defaultRowHeight="15" x14ac:dyDescent="0.25"/>
  <cols>
    <col min="2" max="2" width="12.42578125" customWidth="1"/>
    <col min="3" max="3" width="13.5703125" customWidth="1"/>
    <col min="4" max="4" width="24.5703125" customWidth="1"/>
    <col min="5" max="5" width="17.7109375" customWidth="1"/>
    <col min="8" max="8" width="19.140625" customWidth="1"/>
  </cols>
  <sheetData>
    <row r="4" spans="2:8" x14ac:dyDescent="0.25">
      <c r="B4" s="22" t="s">
        <v>0</v>
      </c>
      <c r="C4" s="22"/>
      <c r="D4" s="22"/>
      <c r="E4" s="22"/>
      <c r="F4" s="22"/>
      <c r="G4" s="22"/>
    </row>
    <row r="5" spans="2:8" x14ac:dyDescent="0.25">
      <c r="B5" s="23" t="s">
        <v>1</v>
      </c>
      <c r="C5" s="23"/>
      <c r="D5" s="23"/>
      <c r="E5" s="23"/>
      <c r="F5" s="23"/>
      <c r="G5" s="23"/>
    </row>
    <row r="6" spans="2:8" x14ac:dyDescent="0.25">
      <c r="B6" s="22" t="s">
        <v>2</v>
      </c>
      <c r="C6" s="22"/>
      <c r="D6" s="22"/>
      <c r="E6" s="22"/>
      <c r="F6" s="22"/>
      <c r="G6" s="22"/>
    </row>
    <row r="7" spans="2:8" ht="15.75" thickBot="1" x14ac:dyDescent="0.3">
      <c r="G7" s="12"/>
    </row>
    <row r="8" spans="2:8" x14ac:dyDescent="0.25">
      <c r="B8" s="24" t="s">
        <v>20</v>
      </c>
      <c r="C8" s="25"/>
      <c r="D8" s="25"/>
      <c r="E8" s="25"/>
      <c r="F8" s="25"/>
      <c r="G8" s="25"/>
      <c r="H8" s="26"/>
    </row>
    <row r="9" spans="2:8" x14ac:dyDescent="0.25">
      <c r="B9" s="27"/>
      <c r="C9" s="28"/>
      <c r="D9" s="28"/>
      <c r="E9" s="28"/>
      <c r="F9" s="28"/>
      <c r="G9" s="28"/>
      <c r="H9" s="29"/>
    </row>
    <row r="10" spans="2:8" ht="15.75" thickBot="1" x14ac:dyDescent="0.3">
      <c r="B10" s="30"/>
      <c r="C10" s="31"/>
      <c r="D10" s="31"/>
      <c r="E10" s="31"/>
      <c r="F10" s="31"/>
      <c r="G10" s="31"/>
      <c r="H10" s="32"/>
    </row>
    <row r="11" spans="2:8" x14ac:dyDescent="0.25">
      <c r="G11" s="12"/>
    </row>
    <row r="12" spans="2:8" x14ac:dyDescent="0.25">
      <c r="D12" s="33" t="s">
        <v>5</v>
      </c>
      <c r="E12" s="33"/>
      <c r="F12" s="34" t="s">
        <v>31</v>
      </c>
      <c r="G12" s="34"/>
      <c r="H12" s="5" t="s">
        <v>25</v>
      </c>
    </row>
    <row r="13" spans="2:8" x14ac:dyDescent="0.25">
      <c r="D13" s="35" t="s">
        <v>4</v>
      </c>
      <c r="E13" s="36"/>
      <c r="F13" s="37" t="s">
        <v>34</v>
      </c>
      <c r="G13" s="38"/>
      <c r="H13" s="5" t="s">
        <v>26</v>
      </c>
    </row>
    <row r="14" spans="2:8" x14ac:dyDescent="0.25">
      <c r="D14" s="35" t="s">
        <v>21</v>
      </c>
      <c r="E14" s="36"/>
      <c r="F14" s="37"/>
      <c r="G14" s="38"/>
      <c r="H14" s="34"/>
    </row>
    <row r="15" spans="2:8" x14ac:dyDescent="0.25">
      <c r="D15" s="33" t="s">
        <v>3</v>
      </c>
      <c r="E15" s="33"/>
      <c r="F15" s="34" t="s">
        <v>35</v>
      </c>
      <c r="G15" s="34"/>
      <c r="H15" s="34"/>
    </row>
    <row r="16" spans="2:8" x14ac:dyDescent="0.25">
      <c r="D16" s="35" t="s">
        <v>24</v>
      </c>
      <c r="E16" s="36"/>
      <c r="F16" s="37"/>
      <c r="G16" s="38"/>
      <c r="H16" s="34"/>
    </row>
    <row r="17" spans="1:8" x14ac:dyDescent="0.25">
      <c r="D17" s="35" t="s">
        <v>23</v>
      </c>
      <c r="E17" s="36"/>
      <c r="F17" s="18" t="s">
        <v>32</v>
      </c>
      <c r="G17" s="17">
        <v>40</v>
      </c>
      <c r="H17" s="34"/>
    </row>
    <row r="18" spans="1:8" x14ac:dyDescent="0.25">
      <c r="D18" s="33" t="s">
        <v>22</v>
      </c>
      <c r="E18" s="33"/>
      <c r="F18" s="33" t="s">
        <v>30</v>
      </c>
      <c r="G18" s="33"/>
      <c r="H18" s="34"/>
    </row>
    <row r="19" spans="1:8" x14ac:dyDescent="0.25">
      <c r="G19" s="12"/>
    </row>
    <row r="20" spans="1:8" x14ac:dyDescent="0.25">
      <c r="B20" s="40" t="s">
        <v>38</v>
      </c>
      <c r="C20" s="41"/>
      <c r="D20" s="41"/>
      <c r="E20" s="41"/>
      <c r="F20" s="41"/>
      <c r="G20" s="41"/>
      <c r="H20" s="41"/>
    </row>
    <row r="21" spans="1:8" x14ac:dyDescent="0.25">
      <c r="G21" s="12"/>
    </row>
    <row r="22" spans="1:8" ht="45" x14ac:dyDescent="0.25">
      <c r="A22" t="s">
        <v>39</v>
      </c>
      <c r="B22" s="11" t="s">
        <v>6</v>
      </c>
      <c r="C22" s="11" t="s">
        <v>7</v>
      </c>
      <c r="D22" s="11" t="s">
        <v>8</v>
      </c>
      <c r="E22" s="11" t="s">
        <v>9</v>
      </c>
      <c r="F22" s="11" t="s">
        <v>27</v>
      </c>
      <c r="G22" s="11" t="s">
        <v>10</v>
      </c>
      <c r="H22" s="11" t="s">
        <v>11</v>
      </c>
    </row>
    <row r="23" spans="1:8" ht="15.75" x14ac:dyDescent="0.25">
      <c r="A23">
        <v>1</v>
      </c>
      <c r="B23" s="20">
        <v>44587</v>
      </c>
      <c r="C23" s="20">
        <v>44588</v>
      </c>
      <c r="D23" s="21" t="s">
        <v>33</v>
      </c>
      <c r="E23" s="10" t="s">
        <v>29</v>
      </c>
      <c r="F23" s="1">
        <v>556</v>
      </c>
      <c r="G23" s="19" t="str">
        <f t="shared" ref="G23:G24" si="0">IF($F$18="6CV","1,2",IF($F$18="7CV","1,75",IF($F$18="8CV","1,75",IF($F$18="9CV","1,75",IF($F$18="10CV","2,30",IF($F$18="11cv","2,3"))))))</f>
        <v>1,2</v>
      </c>
      <c r="H23" s="14">
        <f t="shared" ref="H23:H24" si="1">F23*G23</f>
        <v>667.19999999999993</v>
      </c>
    </row>
    <row r="24" spans="1:8" ht="15.75" x14ac:dyDescent="0.25">
      <c r="A24">
        <v>3</v>
      </c>
      <c r="B24" s="20">
        <v>44628</v>
      </c>
      <c r="C24" s="20">
        <v>44629</v>
      </c>
      <c r="D24" s="21" t="s">
        <v>33</v>
      </c>
      <c r="E24" s="10" t="s">
        <v>29</v>
      </c>
      <c r="F24" s="1">
        <v>556</v>
      </c>
      <c r="G24" s="19" t="str">
        <f t="shared" si="0"/>
        <v>1,2</v>
      </c>
      <c r="H24" s="14">
        <f t="shared" si="1"/>
        <v>667.19999999999993</v>
      </c>
    </row>
    <row r="25" spans="1:8" ht="15.75" x14ac:dyDescent="0.25">
      <c r="A25">
        <v>2</v>
      </c>
      <c r="B25" s="20">
        <v>44643</v>
      </c>
      <c r="C25" s="20">
        <v>44644</v>
      </c>
      <c r="D25" s="21" t="s">
        <v>33</v>
      </c>
      <c r="E25" s="10" t="s">
        <v>29</v>
      </c>
      <c r="F25" s="1">
        <v>556</v>
      </c>
      <c r="G25" s="19" t="str">
        <f>IF($F$18="6CV","1,2",IF($F$18="7CV","1,75",IF($F$18="8CV","1,75",IF($F$18="9CV","1,75",IF($F$18="10CV","2,30",IF($F$18="11cv","2,3"))))))</f>
        <v>1,2</v>
      </c>
      <c r="H25" s="14">
        <f>F25*G25</f>
        <v>667.19999999999993</v>
      </c>
    </row>
    <row r="26" spans="1:8" ht="15.75" x14ac:dyDescent="0.25">
      <c r="A26">
        <v>4</v>
      </c>
      <c r="B26" s="20">
        <v>44649</v>
      </c>
      <c r="C26" s="20">
        <v>44650</v>
      </c>
      <c r="D26" s="21" t="s">
        <v>33</v>
      </c>
      <c r="E26" s="10" t="s">
        <v>29</v>
      </c>
      <c r="F26" s="1">
        <v>556</v>
      </c>
      <c r="G26" s="19" t="str">
        <f t="shared" ref="G26:G29" si="2">IF($F$18="6CV","1,2",IF($F$18="7CV","1,75",IF($F$18="8CV","1,75",IF($F$18="9CV","1,75",IF($F$18="10CV","2,30",IF($F$18="11cv","2,3"))))))</f>
        <v>1,2</v>
      </c>
      <c r="H26" s="14">
        <f t="shared" ref="H26:H30" si="3">F26*G26</f>
        <v>667.19999999999993</v>
      </c>
    </row>
    <row r="27" spans="1:8" ht="15.75" x14ac:dyDescent="0.25">
      <c r="A27">
        <v>5</v>
      </c>
      <c r="B27" s="20">
        <v>44657</v>
      </c>
      <c r="C27" s="20">
        <v>44658</v>
      </c>
      <c r="D27" s="21" t="s">
        <v>33</v>
      </c>
      <c r="E27" s="10" t="s">
        <v>29</v>
      </c>
      <c r="F27" s="1">
        <v>556</v>
      </c>
      <c r="G27" s="19" t="str">
        <f t="shared" si="2"/>
        <v>1,2</v>
      </c>
      <c r="H27" s="14">
        <f>F27*G27</f>
        <v>667.19999999999993</v>
      </c>
    </row>
    <row r="28" spans="1:8" ht="15.75" x14ac:dyDescent="0.25">
      <c r="B28" s="20">
        <v>44678</v>
      </c>
      <c r="C28" s="20">
        <v>44679</v>
      </c>
      <c r="D28" s="21" t="s">
        <v>33</v>
      </c>
      <c r="E28" s="10" t="s">
        <v>29</v>
      </c>
      <c r="F28" s="1">
        <v>556</v>
      </c>
      <c r="G28" s="19" t="str">
        <f t="shared" si="2"/>
        <v>1,2</v>
      </c>
      <c r="H28" s="14">
        <f t="shared" si="3"/>
        <v>667.19999999999993</v>
      </c>
    </row>
    <row r="29" spans="1:8" ht="15.75" x14ac:dyDescent="0.25">
      <c r="B29" s="20">
        <v>44693</v>
      </c>
      <c r="C29" s="20">
        <v>44694</v>
      </c>
      <c r="D29" s="21" t="s">
        <v>33</v>
      </c>
      <c r="E29" s="10" t="s">
        <v>29</v>
      </c>
      <c r="F29" s="1">
        <v>556</v>
      </c>
      <c r="G29" s="19" t="str">
        <f t="shared" si="2"/>
        <v>1,2</v>
      </c>
      <c r="H29" s="14">
        <f t="shared" si="3"/>
        <v>667.19999999999993</v>
      </c>
    </row>
    <row r="30" spans="1:8" ht="15.75" x14ac:dyDescent="0.25">
      <c r="B30" s="20">
        <v>44700</v>
      </c>
      <c r="C30" s="20">
        <v>44700</v>
      </c>
      <c r="D30" s="1" t="s">
        <v>36</v>
      </c>
      <c r="E30" s="10" t="s">
        <v>29</v>
      </c>
      <c r="F30" s="1">
        <v>167</v>
      </c>
      <c r="G30" s="19">
        <v>1.2</v>
      </c>
      <c r="H30" s="14">
        <f t="shared" si="3"/>
        <v>200.4</v>
      </c>
    </row>
    <row r="31" spans="1:8" x14ac:dyDescent="0.25">
      <c r="B31" s="1"/>
      <c r="C31" s="1"/>
      <c r="D31" s="1"/>
      <c r="E31" s="10"/>
      <c r="F31" s="1"/>
      <c r="G31" s="19"/>
      <c r="H31" s="14"/>
    </row>
    <row r="32" spans="1:8" ht="18.75" x14ac:dyDescent="0.3">
      <c r="B32" s="42" t="s">
        <v>12</v>
      </c>
      <c r="C32" s="43"/>
      <c r="D32" s="43"/>
      <c r="E32" s="43"/>
      <c r="F32" s="43"/>
      <c r="G32" s="43"/>
      <c r="H32" s="15">
        <f>SUM(H23:H31)</f>
        <v>4870.7999999999993</v>
      </c>
    </row>
    <row r="33" spans="2:8" x14ac:dyDescent="0.25">
      <c r="G33" s="12"/>
    </row>
    <row r="34" spans="2:8" x14ac:dyDescent="0.25">
      <c r="B34" s="44" t="s">
        <v>13</v>
      </c>
      <c r="C34" s="44"/>
      <c r="D34" s="44"/>
      <c r="E34" s="44"/>
      <c r="F34" s="2"/>
      <c r="G34" s="2"/>
    </row>
    <row r="35" spans="2:8" x14ac:dyDescent="0.25">
      <c r="B35" s="45" t="s">
        <v>37</v>
      </c>
      <c r="C35" s="45"/>
      <c r="D35" s="45"/>
      <c r="E35" s="45"/>
      <c r="F35" s="16"/>
      <c r="G35" s="12"/>
    </row>
    <row r="36" spans="2:8" x14ac:dyDescent="0.25">
      <c r="B36" s="2"/>
      <c r="C36" s="2"/>
      <c r="D36" s="2"/>
      <c r="E36" s="2"/>
      <c r="F36" s="2"/>
      <c r="G36" s="9" t="s">
        <v>14</v>
      </c>
      <c r="H36" s="6"/>
    </row>
    <row r="37" spans="2:8" x14ac:dyDescent="0.25">
      <c r="G37" s="12"/>
    </row>
    <row r="38" spans="2:8" x14ac:dyDescent="0.25">
      <c r="B38" s="46" t="s">
        <v>15</v>
      </c>
      <c r="C38" s="46"/>
      <c r="D38" s="46"/>
      <c r="E38" s="46"/>
      <c r="G38" s="46" t="s">
        <v>28</v>
      </c>
      <c r="H38" s="46"/>
    </row>
    <row r="39" spans="2:8" x14ac:dyDescent="0.25">
      <c r="B39" s="46"/>
      <c r="C39" s="46"/>
      <c r="D39" s="46"/>
      <c r="E39" s="46"/>
      <c r="G39" s="46"/>
      <c r="H39" s="46"/>
    </row>
    <row r="40" spans="2:8" x14ac:dyDescent="0.25">
      <c r="B40" s="46"/>
      <c r="C40" s="46"/>
      <c r="D40" s="46"/>
      <c r="E40" s="46"/>
      <c r="G40" s="46"/>
      <c r="H40" s="46"/>
    </row>
    <row r="41" spans="2:8" x14ac:dyDescent="0.25">
      <c r="G41" s="46"/>
      <c r="H41" s="46"/>
    </row>
    <row r="42" spans="2:8" x14ac:dyDescent="0.25">
      <c r="G42" s="46"/>
      <c r="H42" s="46"/>
    </row>
    <row r="43" spans="2:8" x14ac:dyDescent="0.25">
      <c r="D43" s="4"/>
      <c r="E43" s="4"/>
      <c r="F43" s="4"/>
      <c r="G43" s="13"/>
    </row>
    <row r="44" spans="2:8" x14ac:dyDescent="0.25">
      <c r="B44" s="39" t="s">
        <v>16</v>
      </c>
      <c r="C44" s="39"/>
      <c r="D44" s="7"/>
      <c r="E44" s="47"/>
      <c r="F44" s="47"/>
      <c r="G44" s="13"/>
      <c r="H44" s="8" t="s">
        <v>17</v>
      </c>
    </row>
    <row r="45" spans="2:8" x14ac:dyDescent="0.25">
      <c r="D45" s="39"/>
      <c r="E45" s="39"/>
      <c r="F45" s="39"/>
      <c r="G45" s="39"/>
      <c r="H45" s="3" t="s">
        <v>18</v>
      </c>
    </row>
    <row r="46" spans="2:8" x14ac:dyDescent="0.25">
      <c r="G46" s="12"/>
      <c r="H46" s="3" t="s">
        <v>19</v>
      </c>
    </row>
    <row r="47" spans="2:8" x14ac:dyDescent="0.25">
      <c r="G47" s="12"/>
    </row>
  </sheetData>
  <mergeCells count="27">
    <mergeCell ref="D45:G45"/>
    <mergeCell ref="D18:E18"/>
    <mergeCell ref="F18:G18"/>
    <mergeCell ref="B20:H20"/>
    <mergeCell ref="B32:G32"/>
    <mergeCell ref="B34:E34"/>
    <mergeCell ref="B35:E35"/>
    <mergeCell ref="B38:E40"/>
    <mergeCell ref="G38:H42"/>
    <mergeCell ref="B44:C44"/>
    <mergeCell ref="E44:F44"/>
    <mergeCell ref="D13:E13"/>
    <mergeCell ref="F13:G13"/>
    <mergeCell ref="D14:E14"/>
    <mergeCell ref="F14:G14"/>
    <mergeCell ref="H14:H18"/>
    <mergeCell ref="D15:E15"/>
    <mergeCell ref="F15:G15"/>
    <mergeCell ref="D16:E16"/>
    <mergeCell ref="F16:G16"/>
    <mergeCell ref="D17:E17"/>
    <mergeCell ref="B4:G4"/>
    <mergeCell ref="B5:G5"/>
    <mergeCell ref="B6:G6"/>
    <mergeCell ref="B8:H10"/>
    <mergeCell ref="D12:E12"/>
    <mergeCell ref="F12:G12"/>
  </mergeCells>
  <dataValidations count="3">
    <dataValidation type="list" allowBlank="1" showInputMessage="1" showErrorMessage="1" sqref="F18:G18">
      <formula1>"6CV, 7CV, 8CV, 9CV, 10CV, 11CV,"</formula1>
    </dataValidation>
    <dataValidation type="list" allowBlank="1" showInputMessage="1" showErrorMessage="1" sqref="E31">
      <mc:AlternateContent xmlns:x12ac="http://schemas.microsoft.com/office/spreadsheetml/2011/1/ac" xmlns:mc="http://schemas.openxmlformats.org/markup-compatibility/2006">
        <mc:Choice Requires="x12ac">
          <x12ac:list>Transport Public, Transport Personnel ,"  """,</x12ac:list>
        </mc:Choice>
        <mc:Fallback>
          <formula1>"Transport Public, Transport Personnel ,  "","</formula1>
        </mc:Fallback>
      </mc:AlternateContent>
    </dataValidation>
    <dataValidation type="list" allowBlank="1" showInputMessage="1" showErrorMessage="1" sqref="E23:E30">
      <mc:AlternateContent xmlns:x12ac="http://schemas.microsoft.com/office/spreadsheetml/2011/1/ac" xmlns:mc="http://schemas.openxmlformats.org/markup-compatibility/2006">
        <mc:Choice Requires="x12ac">
          <x12ac:list>Transport Public, Voiture Personnel ,"  """,</x12ac:list>
        </mc:Choice>
        <mc:Fallback>
          <formula1>"Transport Public, Voiture Personnel ,  "","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 Gharss 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2022-12-21T11:52:09Z</cp:lastPrinted>
  <dcterms:created xsi:type="dcterms:W3CDTF">2021-09-29T13:40:23Z</dcterms:created>
  <dcterms:modified xsi:type="dcterms:W3CDTF">2026-09-04T10:21:20Z</dcterms:modified>
</cp:coreProperties>
</file>